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nket\Downloads\DA\Superstore_sales_Anlaysis project\"/>
    </mc:Choice>
  </mc:AlternateContent>
  <xr:revisionPtr revIDLastSave="0" documentId="13_ncr:1_{A2CB6FA7-3EDF-44C9-AF72-7896C9FDE9FD}" xr6:coauthVersionLast="47" xr6:coauthVersionMax="47" xr10:uidLastSave="{00000000-0000-0000-0000-000000000000}"/>
  <bookViews>
    <workbookView xWindow="-108" yWindow="-108" windowWidth="23256" windowHeight="12456" activeTab="2" xr2:uid="{DA6B39E7-02C0-4718-B43E-D37B5BF440FB}"/>
  </bookViews>
  <sheets>
    <sheet name="Sheet1" sheetId="2" r:id="rId1"/>
    <sheet name="Dashboard" sheetId="3" r:id="rId2"/>
    <sheet name="Superstore_Sales_Data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G5" i="3"/>
  <c r="D5" i="3"/>
  <c r="A5" i="3"/>
</calcChain>
</file>

<file path=xl/sharedStrings.xml><?xml version="1.0" encoding="utf-8"?>
<sst xmlns="http://schemas.openxmlformats.org/spreadsheetml/2006/main" count="81" uniqueCount="39">
  <si>
    <t>order_id</t>
  </si>
  <si>
    <t>order_date</t>
  </si>
  <si>
    <t>city</t>
  </si>
  <si>
    <t>category</t>
  </si>
  <si>
    <t>product</t>
  </si>
  <si>
    <t>quantity</t>
  </si>
  <si>
    <t>sales</t>
  </si>
  <si>
    <t>profit</t>
  </si>
  <si>
    <t>payment_mode</t>
  </si>
  <si>
    <t>Ahmedabad</t>
  </si>
  <si>
    <t>Furniture</t>
  </si>
  <si>
    <t>Chair</t>
  </si>
  <si>
    <t>UPI</t>
  </si>
  <si>
    <t>Surat</t>
  </si>
  <si>
    <t>Technology</t>
  </si>
  <si>
    <t>Mouse</t>
  </si>
  <si>
    <t>Card</t>
  </si>
  <si>
    <t>Vadodara</t>
  </si>
  <si>
    <t>Officce supplier</t>
  </si>
  <si>
    <t>Pen</t>
  </si>
  <si>
    <t>Cash</t>
  </si>
  <si>
    <t>Keybored</t>
  </si>
  <si>
    <t>Table</t>
  </si>
  <si>
    <t>Rajkot</t>
  </si>
  <si>
    <t>Moniter</t>
  </si>
  <si>
    <t>Desk</t>
  </si>
  <si>
    <t>notebook</t>
  </si>
  <si>
    <t>Printer</t>
  </si>
  <si>
    <t>Office supplier</t>
  </si>
  <si>
    <t>paper</t>
  </si>
  <si>
    <t>Row Labels</t>
  </si>
  <si>
    <t>Grand Total</t>
  </si>
  <si>
    <t>Sum of sales</t>
  </si>
  <si>
    <t>Total sales</t>
  </si>
  <si>
    <t>Total profit</t>
  </si>
  <si>
    <t>Total Orders</t>
  </si>
  <si>
    <t>Average sales</t>
  </si>
  <si>
    <t>Sum of profit</t>
  </si>
  <si>
    <t>Superstore Sales Analysis Dashborad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</si>
</sst>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9" fillId="0" borderId="10" xfId="0" applyFont="1" applyBorder="1"/>
    <xf numFmtId="0" fontId="20" fillId="0" borderId="10" xfId="0" applyFont="1" applyBorder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Surat</c:v>
                </c:pt>
                <c:pt idx="1">
                  <c:v>Rajkot</c:v>
                </c:pt>
                <c:pt idx="2">
                  <c:v>Ahmedabad</c:v>
                </c:pt>
                <c:pt idx="3">
                  <c:v>Vadodara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16500</c:v>
                </c:pt>
                <c:pt idx="1">
                  <c:v>14000</c:v>
                </c:pt>
                <c:pt idx="2">
                  <c:v>8500</c:v>
                </c:pt>
                <c:pt idx="3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5-4169-B83B-AC80FFFDA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207391"/>
        <c:axId val="699467087"/>
      </c:barChart>
      <c:catAx>
        <c:axId val="69720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67087"/>
        <c:crosses val="autoZero"/>
        <c:auto val="1"/>
        <c:lblAlgn val="ctr"/>
        <c:lblOffset val="100"/>
        <c:noMultiLvlLbl val="0"/>
      </c:catAx>
      <c:valAx>
        <c:axId val="6994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0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8C-415F-B0DE-48F9D5B820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8C-415F-B0DE-48F9D5B820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8C-415F-B0DE-48F9D5B820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8C-415F-B0DE-48F9D5B820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Sheet1!$A$23:$A$27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Office supplier</c:v>
                </c:pt>
                <c:pt idx="3">
                  <c:v>Officce supplier</c:v>
                </c:pt>
              </c:strCache>
            </c:strRef>
          </c:cat>
          <c:val>
            <c:numRef>
              <c:f>Sheet1!$B$23:$B$27</c:f>
              <c:numCache>
                <c:formatCode>General</c:formatCode>
                <c:ptCount val="4"/>
                <c:pt idx="0">
                  <c:v>24000</c:v>
                </c:pt>
                <c:pt idx="1">
                  <c:v>18000</c:v>
                </c:pt>
                <c:pt idx="2">
                  <c:v>2000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5-4D8D-A3F6-CDACDB493B9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[Superstore_Sales_Data.xlsx]Sheet1!PivotTable7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profit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Sheet1!$A$38:$A$42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Office supplier</c:v>
                </c:pt>
                <c:pt idx="3">
                  <c:v>Officce supplier</c:v>
                </c:pt>
              </c:strCache>
            </c:strRef>
          </c:cat>
          <c:val>
            <c:numRef>
              <c:f>Sheet1!$B$38:$B$42</c:f>
              <c:numCache>
                <c:formatCode>General</c:formatCode>
                <c:ptCount val="4"/>
                <c:pt idx="0">
                  <c:v>4100</c:v>
                </c:pt>
                <c:pt idx="1">
                  <c:v>1300</c:v>
                </c:pt>
                <c:pt idx="2">
                  <c:v>400</c:v>
                </c:pt>
                <c:pt idx="3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5-4832-B4D3-EDD165096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97201359"/>
        <c:axId val="699427247"/>
      </c:lineChart>
      <c:catAx>
        <c:axId val="6972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27247"/>
        <c:crosses val="autoZero"/>
        <c:auto val="1"/>
        <c:lblAlgn val="ctr"/>
        <c:lblOffset val="100"/>
        <c:noMultiLvlLbl val="0"/>
      </c:catAx>
      <c:valAx>
        <c:axId val="69942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[Superstore_Sales_Data.xlsx]Sheet1!PivotTable8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mode-wise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Sheet1!$A$56:$A$59</c:f>
              <c:strCache>
                <c:ptCount val="3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</c:strCache>
            </c:strRef>
          </c:cat>
          <c:val>
            <c:numRef>
              <c:f>Sheet1!$B$56:$B$59</c:f>
              <c:numCache>
                <c:formatCode>General</c:formatCode>
                <c:ptCount val="3"/>
                <c:pt idx="0">
                  <c:v>27500</c:v>
                </c:pt>
                <c:pt idx="1">
                  <c:v>9500</c:v>
                </c:pt>
                <c:pt idx="2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1-4371-9749-C99BC202F6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53770543"/>
        <c:axId val="699447407"/>
      </c:barChart>
      <c:catAx>
        <c:axId val="125377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47407"/>
        <c:crosses val="autoZero"/>
        <c:auto val="1"/>
        <c:lblAlgn val="ctr"/>
        <c:lblOffset val="100"/>
        <c:noMultiLvlLbl val="0"/>
      </c:catAx>
      <c:valAx>
        <c:axId val="69944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77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Surat</c:v>
                </c:pt>
                <c:pt idx="1">
                  <c:v>Rajkot</c:v>
                </c:pt>
                <c:pt idx="2">
                  <c:v>Ahmedabad</c:v>
                </c:pt>
                <c:pt idx="3">
                  <c:v>Vadodara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16500</c:v>
                </c:pt>
                <c:pt idx="1">
                  <c:v>14000</c:v>
                </c:pt>
                <c:pt idx="2">
                  <c:v>8500</c:v>
                </c:pt>
                <c:pt idx="3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3-4AE2-9905-213598DF9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207391"/>
        <c:axId val="699467087"/>
      </c:barChart>
      <c:catAx>
        <c:axId val="69720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67087"/>
        <c:crosses val="autoZero"/>
        <c:auto val="1"/>
        <c:lblAlgn val="ctr"/>
        <c:lblOffset val="100"/>
        <c:noMultiLvlLbl val="0"/>
      </c:catAx>
      <c:valAx>
        <c:axId val="6994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0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9E-4ACF-AF9E-BACB33DEAA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9E-4ACF-AF9E-BACB33DEAA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9E-4ACF-AF9E-BACB33DEAA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9E-4ACF-AF9E-BACB33DEAA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Sheet1!$A$23:$A$27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Office supplier</c:v>
                </c:pt>
                <c:pt idx="3">
                  <c:v>Officce supplier</c:v>
                </c:pt>
              </c:strCache>
            </c:strRef>
          </c:cat>
          <c:val>
            <c:numRef>
              <c:f>Sheet1!$B$23:$B$27</c:f>
              <c:numCache>
                <c:formatCode>General</c:formatCode>
                <c:ptCount val="4"/>
                <c:pt idx="0">
                  <c:v>24000</c:v>
                </c:pt>
                <c:pt idx="1">
                  <c:v>18000</c:v>
                </c:pt>
                <c:pt idx="2">
                  <c:v>2000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9E-4ACF-AF9E-BACB33DEAAE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[Superstore_Sales_Data.xlsx]Sheet1!PivotTable7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Sheet1!$A$38:$A$42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Office supplier</c:v>
                </c:pt>
                <c:pt idx="3">
                  <c:v>Officce supplier</c:v>
                </c:pt>
              </c:strCache>
            </c:strRef>
          </c:cat>
          <c:val>
            <c:numRef>
              <c:f>Sheet1!$B$38:$B$42</c:f>
              <c:numCache>
                <c:formatCode>General</c:formatCode>
                <c:ptCount val="4"/>
                <c:pt idx="0">
                  <c:v>4100</c:v>
                </c:pt>
                <c:pt idx="1">
                  <c:v>1300</c:v>
                </c:pt>
                <c:pt idx="2">
                  <c:v>400</c:v>
                </c:pt>
                <c:pt idx="3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16-4439-80B7-E6F3CCA4E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201359"/>
        <c:axId val="699427247"/>
      </c:lineChart>
      <c:catAx>
        <c:axId val="6972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27247"/>
        <c:crosses val="autoZero"/>
        <c:auto val="1"/>
        <c:lblAlgn val="ctr"/>
        <c:lblOffset val="100"/>
        <c:noMultiLvlLbl val="0"/>
      </c:catAx>
      <c:valAx>
        <c:axId val="69942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[Superstore_Sales_Data.xlsx]Sheet1!PivotTable8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mode-wise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Sheet1!$A$56:$A$59</c:f>
              <c:strCache>
                <c:ptCount val="3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</c:strCache>
            </c:strRef>
          </c:cat>
          <c:val>
            <c:numRef>
              <c:f>Sheet1!$B$56:$B$59</c:f>
              <c:numCache>
                <c:formatCode>General</c:formatCode>
                <c:ptCount val="3"/>
                <c:pt idx="0">
                  <c:v>27500</c:v>
                </c:pt>
                <c:pt idx="1">
                  <c:v>9500</c:v>
                </c:pt>
                <c:pt idx="2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B-4EF8-ABD6-1AB1251446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53770543"/>
        <c:axId val="699447407"/>
      </c:barChart>
      <c:catAx>
        <c:axId val="125377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47407"/>
        <c:crosses val="autoZero"/>
        <c:auto val="1"/>
        <c:lblAlgn val="ctr"/>
        <c:lblOffset val="100"/>
        <c:noMultiLvlLbl val="0"/>
      </c:catAx>
      <c:valAx>
        <c:axId val="69944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77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99060</xdr:rowOff>
    </xdr:from>
    <xdr:to>
      <xdr:col>9</xdr:col>
      <xdr:colOff>502920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35FCD-B7E6-FA2F-F052-F8CBB2A47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236220</xdr:colOff>
      <xdr:row>19</xdr:row>
      <xdr:rowOff>68580</xdr:rowOff>
    </xdr:from>
    <xdr:to>
      <xdr:col>9</xdr:col>
      <xdr:colOff>137160</xdr:colOff>
      <xdr:row>32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D41F05-D9A4-1117-B2C2-23005CAD3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213360</xdr:colOff>
      <xdr:row>35</xdr:row>
      <xdr:rowOff>68580</xdr:rowOff>
    </xdr:from>
    <xdr:to>
      <xdr:col>10</xdr:col>
      <xdr:colOff>167640</xdr:colOff>
      <xdr:row>50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DB22AC-D697-B1EA-54CB-D6D8D0D89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518160</xdr:colOff>
      <xdr:row>53</xdr:row>
      <xdr:rowOff>137160</xdr:rowOff>
    </xdr:from>
    <xdr:to>
      <xdr:col>10</xdr:col>
      <xdr:colOff>579120</xdr:colOff>
      <xdr:row>67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1462EB-548E-C1C8-A0C0-31B515631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133048</xdr:rowOff>
    </xdr:from>
    <xdr:to>
      <xdr:col>5</xdr:col>
      <xdr:colOff>592666</xdr:colOff>
      <xdr:row>20</xdr:row>
      <xdr:rowOff>177210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514B0-8553-4787-9A99-A8CA74DEC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36286</xdr:colOff>
      <xdr:row>7</xdr:row>
      <xdr:rowOff>169334</xdr:rowOff>
    </xdr:from>
    <xdr:to>
      <xdr:col>12</xdr:col>
      <xdr:colOff>423334</xdr:colOff>
      <xdr:row>20</xdr:row>
      <xdr:rowOff>157238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5E22BB-F61B-4A9B-9CD8-551D2C69C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21</xdr:row>
      <xdr:rowOff>1</xdr:rowOff>
    </xdr:from>
    <xdr:to>
      <xdr:col>5</xdr:col>
      <xdr:colOff>556382</xdr:colOff>
      <xdr:row>37</xdr:row>
      <xdr:rowOff>51214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C14C73-1C97-4A69-A86E-79C1DC2CA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</xdr:colOff>
      <xdr:row>21</xdr:row>
      <xdr:rowOff>36286</xdr:rowOff>
    </xdr:from>
    <xdr:to>
      <xdr:col>12</xdr:col>
      <xdr:colOff>483809</xdr:colOff>
      <xdr:row>36</xdr:row>
      <xdr:rowOff>169332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791541-2342-4704-95FE-145898F96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ket" refreshedDate="46319.991292939812" createdVersion="8" refreshedVersion="8" minRefreshableVersion="3" recordCount="10" xr:uid="{E54A08C9-925E-41FC-BAC2-9FE8E170B288}">
  <cacheSource type="worksheet">
    <worksheetSource ref="A1:I11" sheet="Superstore_Sales_Data"/>
  </cacheSource>
  <cacheFields count="9">
    <cacheField name="order_id" numFmtId="0">
      <sharedItems containsSemiMixedTypes="0" containsString="0" containsNumber="1" containsInteger="1" minValue="101" maxValue="110"/>
    </cacheField>
    <cacheField name="order_date" numFmtId="14">
      <sharedItems containsSemiMixedTypes="0" containsNonDate="0" containsDate="1" containsString="0" minDate="2026-01-05T00:00:00" maxDate="2026-01-29T00:00:00"/>
    </cacheField>
    <cacheField name="city" numFmtId="0">
      <sharedItems count="4">
        <s v="Ahmedabad"/>
        <s v="Surat"/>
        <s v="Vadodara"/>
        <s v="Rajkot"/>
      </sharedItems>
    </cacheField>
    <cacheField name="category" numFmtId="0">
      <sharedItems count="4">
        <s v="Furniture"/>
        <s v="Technology"/>
        <s v="Officce supplier"/>
        <s v="Office supplier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containsInteger="1" minValue="500" maxValue="12000"/>
    </cacheField>
    <cacheField name="profit" numFmtId="0">
      <sharedItems containsSemiMixedTypes="0" containsString="0" containsNumber="1" containsInteger="1" minValue="-500" maxValue="2000"/>
    </cacheField>
    <cacheField name="payment_mode" numFmtId="0">
      <sharedItems count="3">
        <s v="UPI"/>
        <s v="Card"/>
        <s v="Cash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d v="2026-01-05T00:00:00"/>
    <x v="0"/>
    <x v="0"/>
    <s v="Chair"/>
    <n v="2"/>
    <n v="5000"/>
    <n v="800"/>
    <x v="0"/>
  </r>
  <r>
    <n v="102"/>
    <d v="2026-01-07T00:00:00"/>
    <x v="1"/>
    <x v="1"/>
    <s v="Mouse"/>
    <n v="3"/>
    <n v="1500"/>
    <n v="300"/>
    <x v="1"/>
  </r>
  <r>
    <n v="103"/>
    <d v="2026-01-10T00:00:00"/>
    <x v="2"/>
    <x v="2"/>
    <s v="Pen"/>
    <n v="10"/>
    <n v="500"/>
    <n v="100"/>
    <x v="2"/>
  </r>
  <r>
    <n v="104"/>
    <d v="2026-01-12T00:00:00"/>
    <x v="0"/>
    <x v="1"/>
    <s v="Keybored"/>
    <n v="2"/>
    <n v="2500"/>
    <n v="600"/>
    <x v="0"/>
  </r>
  <r>
    <n v="105"/>
    <d v="2026-01-15T00:00:00"/>
    <x v="1"/>
    <x v="0"/>
    <s v="Table"/>
    <n v="1"/>
    <n v="7000"/>
    <n v="-500"/>
    <x v="1"/>
  </r>
  <r>
    <n v="106"/>
    <d v="2026-01-18T00:00:00"/>
    <x v="3"/>
    <x v="1"/>
    <s v="Moniter"/>
    <n v="2"/>
    <n v="12000"/>
    <n v="2000"/>
    <x v="0"/>
  </r>
  <r>
    <n v="107"/>
    <d v="2026-01-20T00:00:00"/>
    <x v="2"/>
    <x v="0"/>
    <s v="Desk"/>
    <n v="1"/>
    <n v="6000"/>
    <n v="1000"/>
    <x v="2"/>
  </r>
  <r>
    <n v="108"/>
    <d v="2026-01-22T00:00:00"/>
    <x v="0"/>
    <x v="2"/>
    <s v="notebook"/>
    <n v="5"/>
    <n v="1000"/>
    <n v="250"/>
    <x v="1"/>
  </r>
  <r>
    <n v="109"/>
    <d v="2026-01-25T00:00:00"/>
    <x v="1"/>
    <x v="1"/>
    <s v="Printer"/>
    <n v="1"/>
    <n v="8000"/>
    <n v="1200"/>
    <x v="0"/>
  </r>
  <r>
    <n v="110"/>
    <d v="2026-01-28T00:00:00"/>
    <x v="3"/>
    <x v="3"/>
    <s v="paper"/>
    <n v="10"/>
    <n v="2000"/>
    <n v="4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E901C-D489-43D6-92FF-3C0B66D3608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7:B42" firstHeaderRow="1" firstDataRow="1" firstDataCol="1"/>
  <pivotFields count="9">
    <pivotField showAll="0"/>
    <pivotField numFmtId="14" showAll="0"/>
    <pivotField showAll="0">
      <items count="5">
        <item x="0"/>
        <item x="3"/>
        <item x="1"/>
        <item x="2"/>
        <item t="default"/>
      </items>
    </pivotField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profit" fld="7" baseField="0" baseItem="0"/>
  </dataFields>
  <chartFormats count="2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90C57-4D83-4ED4-8C45-A4C5F305890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2:B27" firstHeaderRow="1" firstDataRow="1" firstDataCol="1"/>
  <pivotFields count="9">
    <pivotField showAll="0"/>
    <pivotField numFmtId="14" showAll="0"/>
    <pivotField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155CD-4844-4110-B53C-6D3E28C88D0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9">
    <pivotField showAll="0"/>
    <pivotField numFmtId="14"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BA649-9619-4373-83B2-B6F25AD6DBD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2">
  <location ref="A55:B59" firstHeaderRow="1" firstDataRow="1" firstDataCol="1"/>
  <pivotFields count="9">
    <pivotField showAll="0"/>
    <pivotField numFmtId="14" showAll="0"/>
    <pivotField showAll="0">
      <items count="5">
        <item x="0"/>
        <item x="3"/>
        <item x="1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4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166CF-9304-4653-A148-1DC5F471CDF7}" name="Table1" displayName="Table1" ref="A1:I11" totalsRowShown="0">
  <autoFilter ref="A1:I11" xr:uid="{86F166CF-9304-4653-A148-1DC5F471CDF7}"/>
  <tableColumns count="9">
    <tableColumn id="1" xr3:uid="{27C2B427-415A-4026-8100-8FB2E4826660}" name="order_id"/>
    <tableColumn id="2" xr3:uid="{A67D80F2-790E-4772-A4E6-5EC0070C30C3}" name="order_date" dataDxfId="0"/>
    <tableColumn id="3" xr3:uid="{0D184EBC-A083-4BC5-9E8B-FEC96DC20236}" name="city"/>
    <tableColumn id="4" xr3:uid="{9F1CE020-A13C-4A23-AD62-2CFABA1171B5}" name="category"/>
    <tableColumn id="5" xr3:uid="{6026AC4D-7673-4369-86A7-3BFAF0A987BB}" name="product"/>
    <tableColumn id="6" xr3:uid="{1880ED36-A046-4334-B355-0FBA35F5D7AE}" name="quantity"/>
    <tableColumn id="7" xr3:uid="{4D2B508C-E6DF-485E-BC76-8C821101547C}" name="sales"/>
    <tableColumn id="8" xr3:uid="{25968420-5A5C-4432-981D-6FEE71DED665}" name="profit"/>
    <tableColumn id="9" xr3:uid="{1693C437-2C57-4999-BBFE-8176A32844EB}" name="payment_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118A-4EF6-467D-9A7B-15673777C856}">
  <dimension ref="A3:B59"/>
  <sheetViews>
    <sheetView topLeftCell="A47" workbookViewId="0">
      <selection activeCell="B56" sqref="B5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2" t="s">
        <v>30</v>
      </c>
      <c r="B3" t="s">
        <v>32</v>
      </c>
    </row>
    <row r="4" spans="1:2" x14ac:dyDescent="0.3">
      <c r="A4" s="3" t="s">
        <v>13</v>
      </c>
      <c r="B4">
        <v>16500</v>
      </c>
    </row>
    <row r="5" spans="1:2" x14ac:dyDescent="0.3">
      <c r="A5" s="3" t="s">
        <v>23</v>
      </c>
      <c r="B5">
        <v>14000</v>
      </c>
    </row>
    <row r="6" spans="1:2" x14ac:dyDescent="0.3">
      <c r="A6" s="3" t="s">
        <v>9</v>
      </c>
      <c r="B6">
        <v>8500</v>
      </c>
    </row>
    <row r="7" spans="1:2" x14ac:dyDescent="0.3">
      <c r="A7" s="3" t="s">
        <v>17</v>
      </c>
      <c r="B7">
        <v>6500</v>
      </c>
    </row>
    <row r="8" spans="1:2" x14ac:dyDescent="0.3">
      <c r="A8" s="3" t="s">
        <v>31</v>
      </c>
      <c r="B8">
        <v>45500</v>
      </c>
    </row>
    <row r="22" spans="1:2" x14ac:dyDescent="0.3">
      <c r="A22" s="2" t="s">
        <v>30</v>
      </c>
      <c r="B22" t="s">
        <v>32</v>
      </c>
    </row>
    <row r="23" spans="1:2" x14ac:dyDescent="0.3">
      <c r="A23" s="3" t="s">
        <v>14</v>
      </c>
      <c r="B23">
        <v>24000</v>
      </c>
    </row>
    <row r="24" spans="1:2" x14ac:dyDescent="0.3">
      <c r="A24" s="3" t="s">
        <v>10</v>
      </c>
      <c r="B24">
        <v>18000</v>
      </c>
    </row>
    <row r="25" spans="1:2" x14ac:dyDescent="0.3">
      <c r="A25" s="3" t="s">
        <v>28</v>
      </c>
      <c r="B25">
        <v>2000</v>
      </c>
    </row>
    <row r="26" spans="1:2" x14ac:dyDescent="0.3">
      <c r="A26" s="3" t="s">
        <v>18</v>
      </c>
      <c r="B26">
        <v>1500</v>
      </c>
    </row>
    <row r="27" spans="1:2" x14ac:dyDescent="0.3">
      <c r="A27" s="3" t="s">
        <v>31</v>
      </c>
      <c r="B27">
        <v>45500</v>
      </c>
    </row>
    <row r="37" spans="1:2" x14ac:dyDescent="0.3">
      <c r="A37" s="2" t="s">
        <v>30</v>
      </c>
      <c r="B37" t="s">
        <v>37</v>
      </c>
    </row>
    <row r="38" spans="1:2" x14ac:dyDescent="0.3">
      <c r="A38" s="3" t="s">
        <v>14</v>
      </c>
      <c r="B38">
        <v>4100</v>
      </c>
    </row>
    <row r="39" spans="1:2" x14ac:dyDescent="0.3">
      <c r="A39" s="3" t="s">
        <v>10</v>
      </c>
      <c r="B39">
        <v>1300</v>
      </c>
    </row>
    <row r="40" spans="1:2" x14ac:dyDescent="0.3">
      <c r="A40" s="3" t="s">
        <v>28</v>
      </c>
      <c r="B40">
        <v>400</v>
      </c>
    </row>
    <row r="41" spans="1:2" x14ac:dyDescent="0.3">
      <c r="A41" s="3" t="s">
        <v>18</v>
      </c>
      <c r="B41">
        <v>350</v>
      </c>
    </row>
    <row r="42" spans="1:2" x14ac:dyDescent="0.3">
      <c r="A42" s="3" t="s">
        <v>31</v>
      </c>
      <c r="B42">
        <v>6150</v>
      </c>
    </row>
    <row r="55" spans="1:2" x14ac:dyDescent="0.3">
      <c r="A55" s="2" t="s">
        <v>30</v>
      </c>
      <c r="B55" t="s">
        <v>32</v>
      </c>
    </row>
    <row r="56" spans="1:2" x14ac:dyDescent="0.3">
      <c r="A56" s="3" t="s">
        <v>12</v>
      </c>
      <c r="B56">
        <v>27500</v>
      </c>
    </row>
    <row r="57" spans="1:2" x14ac:dyDescent="0.3">
      <c r="A57" s="3" t="s">
        <v>16</v>
      </c>
      <c r="B57">
        <v>9500</v>
      </c>
    </row>
    <row r="58" spans="1:2" x14ac:dyDescent="0.3">
      <c r="A58" s="3" t="s">
        <v>20</v>
      </c>
      <c r="B58">
        <v>8500</v>
      </c>
    </row>
    <row r="59" spans="1:2" x14ac:dyDescent="0.3">
      <c r="A59" s="3" t="s">
        <v>31</v>
      </c>
      <c r="B59">
        <v>45500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CDBB-666F-47A4-8708-BA45E459A616}">
  <dimension ref="A1:J5"/>
  <sheetViews>
    <sheetView showGridLines="0" zoomScale="69" workbookViewId="0">
      <selection activeCell="R19" sqref="R19"/>
    </sheetView>
  </sheetViews>
  <sheetFormatPr defaultRowHeight="14.4" x14ac:dyDescent="0.3"/>
  <cols>
    <col min="1" max="1" width="15.109375" bestFit="1" customWidth="1"/>
    <col min="4" max="4" width="15.109375" bestFit="1" customWidth="1"/>
    <col min="7" max="7" width="17" bestFit="1" customWidth="1"/>
    <col min="10" max="10" width="19.109375" bestFit="1" customWidth="1"/>
  </cols>
  <sheetData>
    <row r="1" spans="1:10" x14ac:dyDescent="0.3">
      <c r="A1" s="7" t="s">
        <v>38</v>
      </c>
      <c r="B1" s="7"/>
      <c r="C1" s="7"/>
      <c r="D1" s="7"/>
      <c r="E1" s="7"/>
      <c r="F1" s="7"/>
      <c r="G1" s="7"/>
      <c r="H1" s="7"/>
      <c r="I1" s="7"/>
    </row>
    <row r="2" spans="1:10" x14ac:dyDescent="0.3">
      <c r="A2" s="7"/>
      <c r="B2" s="7"/>
      <c r="C2" s="7"/>
      <c r="D2" s="7"/>
      <c r="E2" s="7"/>
      <c r="F2" s="7"/>
      <c r="G2" s="7"/>
      <c r="H2" s="7"/>
      <c r="I2" s="7"/>
    </row>
    <row r="4" spans="1:10" ht="21" x14ac:dyDescent="0.4">
      <c r="A4" s="6" t="s">
        <v>33</v>
      </c>
      <c r="B4" s="4"/>
      <c r="C4" s="4"/>
      <c r="D4" s="6" t="s">
        <v>34</v>
      </c>
      <c r="E4" s="4"/>
      <c r="F4" s="4"/>
      <c r="G4" s="6" t="s">
        <v>35</v>
      </c>
      <c r="H4" s="4"/>
      <c r="I4" s="4"/>
      <c r="J4" s="6" t="s">
        <v>36</v>
      </c>
    </row>
    <row r="5" spans="1:10" ht="21" x14ac:dyDescent="0.4">
      <c r="A5" s="5">
        <f>SUM(Superstore_Sales_Data!G2:G11)</f>
        <v>45500</v>
      </c>
      <c r="B5" s="4"/>
      <c r="C5" s="4"/>
      <c r="D5" s="5">
        <f>SUM(Superstore_Sales_Data!H2:H11)</f>
        <v>6150</v>
      </c>
      <c r="E5" s="4"/>
      <c r="F5" s="4"/>
      <c r="G5" s="5">
        <f>COUNTA(Superstore_Sales_Data!A2:A11)</f>
        <v>10</v>
      </c>
      <c r="H5" s="4"/>
      <c r="I5" s="4"/>
      <c r="J5" s="5">
        <f>AVERAGE(Superstore_Sales_Data!G2:G11)</f>
        <v>4550</v>
      </c>
    </row>
  </sheetData>
  <mergeCells count="1">
    <mergeCell ref="A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F250-C7E3-4ACC-B051-6A05434A6921}">
  <dimension ref="A1:I11"/>
  <sheetViews>
    <sheetView tabSelected="1" zoomScale="145" workbookViewId="0">
      <selection activeCell="G8" sqref="G8"/>
    </sheetView>
  </sheetViews>
  <sheetFormatPr defaultRowHeight="14.4" x14ac:dyDescent="0.3"/>
  <cols>
    <col min="1" max="1" width="9" customWidth="1"/>
    <col min="2" max="2" width="11.21875" customWidth="1"/>
    <col min="3" max="3" width="10.88671875" bestFit="1" customWidth="1"/>
    <col min="4" max="4" width="9.33203125" customWidth="1"/>
    <col min="6" max="6" width="9" customWidth="1"/>
    <col min="9" max="9" width="15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 s="1">
        <v>46027</v>
      </c>
      <c r="C2" t="s">
        <v>9</v>
      </c>
      <c r="D2" t="s">
        <v>10</v>
      </c>
      <c r="E2" t="s">
        <v>11</v>
      </c>
      <c r="F2">
        <v>2</v>
      </c>
      <c r="G2">
        <v>5000</v>
      </c>
      <c r="H2">
        <v>800</v>
      </c>
      <c r="I2" t="s">
        <v>12</v>
      </c>
    </row>
    <row r="3" spans="1:9" x14ac:dyDescent="0.3">
      <c r="A3">
        <v>102</v>
      </c>
      <c r="B3" s="1">
        <v>46029</v>
      </c>
      <c r="C3" t="s">
        <v>13</v>
      </c>
      <c r="D3" t="s">
        <v>14</v>
      </c>
      <c r="E3" t="s">
        <v>15</v>
      </c>
      <c r="F3">
        <v>3</v>
      </c>
      <c r="G3">
        <v>1500</v>
      </c>
      <c r="H3">
        <v>300</v>
      </c>
      <c r="I3" t="s">
        <v>16</v>
      </c>
    </row>
    <row r="4" spans="1:9" x14ac:dyDescent="0.3">
      <c r="A4">
        <v>103</v>
      </c>
      <c r="B4" s="1">
        <v>46032</v>
      </c>
      <c r="C4" t="s">
        <v>17</v>
      </c>
      <c r="D4" t="s">
        <v>18</v>
      </c>
      <c r="E4" t="s">
        <v>19</v>
      </c>
      <c r="F4">
        <v>10</v>
      </c>
      <c r="G4">
        <v>500</v>
      </c>
      <c r="H4">
        <v>100</v>
      </c>
      <c r="I4" t="s">
        <v>20</v>
      </c>
    </row>
    <row r="5" spans="1:9" x14ac:dyDescent="0.3">
      <c r="A5">
        <v>104</v>
      </c>
      <c r="B5" s="1">
        <v>46034</v>
      </c>
      <c r="C5" t="s">
        <v>9</v>
      </c>
      <c r="D5" t="s">
        <v>14</v>
      </c>
      <c r="E5" t="s">
        <v>21</v>
      </c>
      <c r="F5">
        <v>2</v>
      </c>
      <c r="G5">
        <v>2500</v>
      </c>
      <c r="H5">
        <v>600</v>
      </c>
      <c r="I5" t="s">
        <v>12</v>
      </c>
    </row>
    <row r="6" spans="1:9" x14ac:dyDescent="0.3">
      <c r="A6">
        <v>105</v>
      </c>
      <c r="B6" s="1">
        <v>46037</v>
      </c>
      <c r="C6" t="s">
        <v>13</v>
      </c>
      <c r="D6" t="s">
        <v>10</v>
      </c>
      <c r="E6" t="s">
        <v>22</v>
      </c>
      <c r="F6">
        <v>1</v>
      </c>
      <c r="G6">
        <v>7000</v>
      </c>
      <c r="H6">
        <v>-500</v>
      </c>
      <c r="I6" t="s">
        <v>16</v>
      </c>
    </row>
    <row r="7" spans="1:9" x14ac:dyDescent="0.3">
      <c r="A7">
        <v>106</v>
      </c>
      <c r="B7" s="1">
        <v>46040</v>
      </c>
      <c r="C7" t="s">
        <v>23</v>
      </c>
      <c r="D7" t="s">
        <v>14</v>
      </c>
      <c r="E7" t="s">
        <v>24</v>
      </c>
      <c r="F7">
        <v>2</v>
      </c>
      <c r="G7">
        <v>12000</v>
      </c>
      <c r="H7">
        <v>2000</v>
      </c>
      <c r="I7" t="s">
        <v>12</v>
      </c>
    </row>
    <row r="8" spans="1:9" x14ac:dyDescent="0.3">
      <c r="A8">
        <v>107</v>
      </c>
      <c r="B8" s="1">
        <v>46042</v>
      </c>
      <c r="C8" t="s">
        <v>17</v>
      </c>
      <c r="D8" t="s">
        <v>10</v>
      </c>
      <c r="E8" t="s">
        <v>25</v>
      </c>
      <c r="F8">
        <v>1</v>
      </c>
      <c r="G8">
        <v>6000</v>
      </c>
      <c r="H8">
        <v>1000</v>
      </c>
      <c r="I8" t="s">
        <v>20</v>
      </c>
    </row>
    <row r="9" spans="1:9" x14ac:dyDescent="0.3">
      <c r="A9">
        <v>108</v>
      </c>
      <c r="B9" s="1">
        <v>46044</v>
      </c>
      <c r="C9" t="s">
        <v>9</v>
      </c>
      <c r="D9" t="s">
        <v>18</v>
      </c>
      <c r="E9" t="s">
        <v>26</v>
      </c>
      <c r="F9">
        <v>5</v>
      </c>
      <c r="G9">
        <v>1000</v>
      </c>
      <c r="H9">
        <v>250</v>
      </c>
      <c r="I9" t="s">
        <v>16</v>
      </c>
    </row>
    <row r="10" spans="1:9" x14ac:dyDescent="0.3">
      <c r="A10">
        <v>109</v>
      </c>
      <c r="B10" s="1">
        <v>46047</v>
      </c>
      <c r="C10" t="s">
        <v>13</v>
      </c>
      <c r="D10" t="s">
        <v>14</v>
      </c>
      <c r="E10" t="s">
        <v>27</v>
      </c>
      <c r="F10">
        <v>1</v>
      </c>
      <c r="G10">
        <v>8000</v>
      </c>
      <c r="H10">
        <v>1200</v>
      </c>
      <c r="I10" t="s">
        <v>12</v>
      </c>
    </row>
    <row r="11" spans="1:9" x14ac:dyDescent="0.3">
      <c r="A11">
        <v>110</v>
      </c>
      <c r="B11" s="1">
        <v>46050</v>
      </c>
      <c r="C11" t="s">
        <v>23</v>
      </c>
      <c r="D11" t="s">
        <v>28</v>
      </c>
      <c r="E11" t="s">
        <v>29</v>
      </c>
      <c r="F11">
        <v>10</v>
      </c>
      <c r="G11">
        <v>2000</v>
      </c>
      <c r="H11">
        <v>400</v>
      </c>
      <c r="I1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Superstore_Sales_Data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</dc:creator>
  <cp:lastModifiedBy>Sanket</cp:lastModifiedBy>
  <dcterms:created xsi:type="dcterms:W3CDTF">2026-10-24T18:15:41Z</dcterms:created>
  <dcterms:modified xsi:type="dcterms:W3CDTF">2026-10-25T17:25:20Z</dcterms:modified>
</cp:coreProperties>
</file>